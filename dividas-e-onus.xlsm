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3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atec\Downloads\"/>
    </mc:Choice>
  </mc:AlternateContent>
  <xr:revisionPtr revIDLastSave="0" documentId="8_{C5029D9A-F2EB-4912-A62C-04E64AB3BFCA}" xr6:coauthVersionLast="36" xr6:coauthVersionMax="36" xr10:uidLastSave="{00000000-0000-0000-0000-000000000000}"/>
  <bookViews>
    <workbookView xWindow="0" yWindow="0" windowWidth="28800" windowHeight="12225" xr2:uid="{00000000-000D-0000-FFFF-FFFF00000000}"/>
  </bookViews>
  <sheets>
    <sheet name="Formulario" sheetId="3" r:id="rId1"/>
    <sheet name="Dinamica" sheetId="2" r:id="rId2"/>
    <sheet name="DIvidas e onus" sheetId="1" r:id="rId3"/>
  </sheets>
  <calcPr calcId="191029"/>
  <pivotCaches>
    <pivotCache cacheId="0" r:id="rId4"/>
  </pivotCaches>
  <fileRecoveryPr repairLoad="1"/>
</workbook>
</file>

<file path=xl/calcChain.xml><?xml version="1.0" encoding="utf-8"?>
<calcChain xmlns="http://schemas.openxmlformats.org/spreadsheetml/2006/main">
  <c r="J9" i="3" l="1"/>
  <c r="I9" i="3"/>
  <c r="D9" i="3"/>
  <c r="H9" i="3"/>
  <c r="G9" i="3"/>
  <c r="F9" i="3"/>
  <c r="E9" i="3"/>
  <c r="C9" i="3"/>
</calcChain>
</file>

<file path=xl/sharedStrings.xml><?xml version="1.0" encoding="utf-8"?>
<sst xmlns="http://schemas.openxmlformats.org/spreadsheetml/2006/main" count="21" uniqueCount="13">
  <si>
    <t>Ano Calendário</t>
  </si>
  <si>
    <t>Empréstimos contraídos no exterior</t>
  </si>
  <si>
    <t>Estabelecimento bancário comercial</t>
  </si>
  <si>
    <t>Outras dívidas e ônus reais</t>
  </si>
  <si>
    <t>Outras pessoas jurídicas</t>
  </si>
  <si>
    <t>Pessoas físicas</t>
  </si>
  <si>
    <t>Soc. de crédito, financiamento e investimento</t>
  </si>
  <si>
    <t>Outros</t>
  </si>
  <si>
    <t>Inválido</t>
  </si>
  <si>
    <t>Rótulos de Linha</t>
  </si>
  <si>
    <t>Total Geral</t>
  </si>
  <si>
    <t>Soma de Estabelecimento bancário comercial</t>
  </si>
  <si>
    <t>Soma de Soc. de crédito, financiamento e investimento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</si>
</sst>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0" xfId="0" applyBorder="1"/>
    <xf numFmtId="0" fontId="0" fillId="0" borderId="0" xfId="0" applyBorder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[dividas-e-onus.xlsm]Dinamica!Tabela dinâmica1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Dinamica!$B$1</c:f>
              <c:strCache>
                <c:ptCount val="1"/>
                <c:pt idx="0">
                  <c:v>Soma de Estabelecimento bancário comercial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Dinamica!$A$2:$A$16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Dinamica!$B$2:$B$16</c:f>
              <c:numCache>
                <c:formatCode>General</c:formatCode>
                <c:ptCount val="14"/>
                <c:pt idx="0">
                  <c:v>74760.228220000005</c:v>
                </c:pt>
                <c:pt idx="1">
                  <c:v>75639.189249999996</c:v>
                </c:pt>
                <c:pt idx="2">
                  <c:v>165731.6764</c:v>
                </c:pt>
                <c:pt idx="3">
                  <c:v>300111.09850000002</c:v>
                </c:pt>
                <c:pt idx="4">
                  <c:v>238370.41769999999</c:v>
                </c:pt>
                <c:pt idx="5">
                  <c:v>181565.5533</c:v>
                </c:pt>
                <c:pt idx="6">
                  <c:v>192936.0619</c:v>
                </c:pt>
                <c:pt idx="7">
                  <c:v>230628.22289999999</c:v>
                </c:pt>
                <c:pt idx="8">
                  <c:v>302515.0393</c:v>
                </c:pt>
                <c:pt idx="9">
                  <c:v>241374.52650000001</c:v>
                </c:pt>
                <c:pt idx="10">
                  <c:v>445093.13209999999</c:v>
                </c:pt>
                <c:pt idx="11">
                  <c:v>262100.44099999999</c:v>
                </c:pt>
                <c:pt idx="12">
                  <c:v>284721.70189999999</c:v>
                </c:pt>
                <c:pt idx="13">
                  <c:v>323535.64809999999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1-4A4C-490E-98E1-4062C1D7780C}"/>
            </c:ext>
          </c:extLst>
        </c:ser>
        <c:ser>
          <c:idx val="1"/>
          <c:order val="1"/>
          <c:tx>
            <c:strRef>
              <c:f>Dinamica!$C$1</c:f>
              <c:strCache>
                <c:ptCount val="1"/>
                <c:pt idx="0">
                  <c:v>Soma de Soc. de crédito, financiamento e investimento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Dinamica!$A$2:$A$16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Dinamica!$C$2:$C$16</c:f>
              <c:numCache>
                <c:formatCode>General</c:formatCode>
                <c:ptCount val="14"/>
                <c:pt idx="0">
                  <c:v>28336.35009</c:v>
                </c:pt>
                <c:pt idx="1">
                  <c:v>35745.73749</c:v>
                </c:pt>
                <c:pt idx="2">
                  <c:v>42202.890630000002</c:v>
                </c:pt>
                <c:pt idx="3">
                  <c:v>18877.41748</c:v>
                </c:pt>
                <c:pt idx="4">
                  <c:v>134747.29870000001</c:v>
                </c:pt>
                <c:pt idx="5">
                  <c:v>85244.11924</c:v>
                </c:pt>
                <c:pt idx="6">
                  <c:v>67191.031149999995</c:v>
                </c:pt>
                <c:pt idx="7">
                  <c:v>73373.819459999999</c:v>
                </c:pt>
                <c:pt idx="8">
                  <c:v>76709.717950000006</c:v>
                </c:pt>
                <c:pt idx="9">
                  <c:v>75278.502439999997</c:v>
                </c:pt>
                <c:pt idx="10">
                  <c:v>76918.975229999996</c:v>
                </c:pt>
                <c:pt idx="11">
                  <c:v>82690.958679999996</c:v>
                </c:pt>
                <c:pt idx="12">
                  <c:v>109077.9111</c:v>
                </c:pt>
                <c:pt idx="13">
                  <c:v>93629.541530000002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C9-4D00-847F-91B3A6556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8925712"/>
        <c:axId val="1283560896"/>
      </c:barChart>
      <c:catAx>
        <c:axId val="127892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3560896"/>
        <c:crosses val="autoZero"/>
        <c:auto val="1"/>
        <c:lblAlgn val="ctr"/>
        <c:lblOffset val="100"/>
        <c:noMultiLvlLbl val="0"/>
      </c:catAx>
      <c:valAx>
        <c:axId val="12835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892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A$1" fmlaRange="'DIvidas e onus'!$A$2:$A$15" noThreeD="1" sel="0" val="0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971550</xdr:colOff>
          <xdr:row>9</xdr:row>
          <xdr:rowOff>9525</xdr:rowOff>
        </xdr:from>
        <xdr:to>
          <xdr:col>8</xdr:col>
          <xdr:colOff>47625</xdr:colOff>
          <xdr:row>11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D8464D2A-169C-439C-9488-CE758111A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9</xdr:row>
          <xdr:rowOff>9525</xdr:rowOff>
        </xdr:from>
        <xdr:to>
          <xdr:col>4</xdr:col>
          <xdr:colOff>990600</xdr:colOff>
          <xdr:row>14</xdr:row>
          <xdr:rowOff>142875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2138FAAD-22A3-4F0E-85FD-27D530EDF7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Limpar_campos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962025</xdr:colOff>
      <xdr:row>1</xdr:row>
      <xdr:rowOff>9525</xdr:rowOff>
    </xdr:from>
    <xdr:to>
      <xdr:col>8</xdr:col>
      <xdr:colOff>257175</xdr:colOff>
      <xdr:row>15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A8E276B-1F53-4227-9767-5C34C3B5C8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tec" refreshedDate="45169.828459259261" createdVersion="6" refreshedVersion="6" minRefreshableVersion="3" recordCount="14" xr:uid="{00000000-000A-0000-FFFF-FFFF08000000}">
  <cacheSource type="worksheet">
    <worksheetSource ref="A1:I15" sheet="DIvidas e onus"/>
  </cacheSource>
  <cacheFields count="9">
    <cacheField name="Ano Calendário" numFmtId="0">
      <sharedItems containsSemiMixedTypes="0" containsString="0" containsNumber="1" containsInteger="1" minValue="2007" maxValue="2020" count="14">
        <n v="2020"/>
        <n v="2019"/>
        <n v="2018"/>
        <n v="2017"/>
        <n v="2016"/>
        <n v="2015"/>
        <n v="2014"/>
        <n v="2013"/>
        <n v="2012"/>
        <n v="2011"/>
        <n v="2010"/>
        <n v="2009"/>
        <n v="2008"/>
        <n v="2007"/>
      </sharedItems>
    </cacheField>
    <cacheField name="Empréstimos contraídos no exterior" numFmtId="0">
      <sharedItems containsSemiMixedTypes="0" containsString="0" containsNumber="1" minValue="2294.622562" maxValue="32986.567990000003" count="14">
        <n v="32986.567990000003"/>
        <n v="24919.77795"/>
        <n v="22553.393540000001"/>
        <n v="19278.0036"/>
        <n v="20102.795289999998"/>
        <n v="16063.656929999999"/>
        <n v="9770.3001829999994"/>
        <n v="8695.8875669999998"/>
        <n v="6929.5775439999998"/>
        <n v="4433.0606470000002"/>
        <n v="2696.8959500000001"/>
        <n v="2682.0085530000001"/>
        <n v="2624.9102990000001"/>
        <n v="2294.622562"/>
      </sharedItems>
    </cacheField>
    <cacheField name="Estabelecimento bancário comercial" numFmtId="0">
      <sharedItems containsSemiMixedTypes="0" containsString="0" containsNumber="1" minValue="74760.228220000005" maxValue="445093.13209999999"/>
    </cacheField>
    <cacheField name="Outras dívidas e ônus reais" numFmtId="0">
      <sharedItems containsSemiMixedTypes="0" containsString="0" containsNumber="1" minValue="9814.6705239999992" maxValue="74395.638399999996"/>
    </cacheField>
    <cacheField name="Outras pessoas jurídicas" numFmtId="0">
      <sharedItems containsSemiMixedTypes="0" containsString="0" containsNumber="1" minValue="33269.087460000002" maxValue="137478.2616"/>
    </cacheField>
    <cacheField name="Pessoas físicas" numFmtId="0">
      <sharedItems containsSemiMixedTypes="0" containsString="0" containsNumber="1" minValue="39700.64185" maxValue="205241.51860000001"/>
    </cacheField>
    <cacheField name="Soc. de crédito, financiamento e investimento" numFmtId="0">
      <sharedItems containsSemiMixedTypes="0" containsString="0" containsNumber="1" minValue="18877.41748" maxValue="134747.29870000001" count="14">
        <n v="93629.541530000002"/>
        <n v="109077.9111"/>
        <n v="82690.958679999996"/>
        <n v="76918.975229999996"/>
        <n v="75278.502439999997"/>
        <n v="76709.717950000006"/>
        <n v="73373.819459999999"/>
        <n v="67191.031149999995"/>
        <n v="85244.11924"/>
        <n v="134747.29870000001"/>
        <n v="18877.41748"/>
        <n v="42202.890630000002"/>
        <n v="35745.73749"/>
        <n v="28336.35009"/>
      </sharedItems>
    </cacheField>
    <cacheField name="Outros" numFmtId="0">
      <sharedItems containsSemiMixedTypes="0" containsString="0" containsNumber="1" minValue="0" maxValue="820"/>
    </cacheField>
    <cacheField name="Inválido" numFmtId="0">
      <sharedItems containsSemiMixedTypes="0" containsString="0" containsNumber="1" minValue="0" maxValue="99.3710501700000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323535.64809999999"/>
    <n v="48813.66779"/>
    <n v="137478.2616"/>
    <n v="205241.51860000001"/>
    <x v="0"/>
    <n v="0"/>
    <n v="0"/>
  </r>
  <r>
    <x v="1"/>
    <x v="1"/>
    <n v="284721.70189999999"/>
    <n v="41938.280140000003"/>
    <n v="111934.38039999999"/>
    <n v="182995.3315"/>
    <x v="1"/>
    <n v="0"/>
    <n v="0"/>
  </r>
  <r>
    <x v="2"/>
    <x v="2"/>
    <n v="262100.44099999999"/>
    <n v="39455.201260000002"/>
    <n v="104586.8067"/>
    <n v="172150.54509999999"/>
    <x v="2"/>
    <n v="0"/>
    <n v="0"/>
  </r>
  <r>
    <x v="3"/>
    <x v="3"/>
    <n v="445093.13209999999"/>
    <n v="74395.638399999996"/>
    <n v="101079.8836"/>
    <n v="177749.54939999999"/>
    <x v="3"/>
    <n v="0"/>
    <n v="0"/>
  </r>
  <r>
    <x v="4"/>
    <x v="4"/>
    <n v="241374.52650000001"/>
    <n v="33780.835330000002"/>
    <n v="91983.785529999994"/>
    <n v="165716.20970000001"/>
    <x v="4"/>
    <n v="0"/>
    <n v="0"/>
  </r>
  <r>
    <x v="5"/>
    <x v="5"/>
    <n v="302515.0393"/>
    <n v="33226.280429999999"/>
    <n v="86984.897270000001"/>
    <n v="144637.27369999999"/>
    <x v="5"/>
    <n v="0"/>
    <n v="0"/>
  </r>
  <r>
    <x v="6"/>
    <x v="6"/>
    <n v="230628.22289999999"/>
    <n v="28505.270939999999"/>
    <n v="100634.1784"/>
    <n v="120981.6642"/>
    <x v="6"/>
    <n v="0"/>
    <n v="0"/>
  </r>
  <r>
    <x v="7"/>
    <x v="7"/>
    <n v="192936.0619"/>
    <n v="25763.078259999998"/>
    <n v="76716.143479999999"/>
    <n v="137025.87390000001"/>
    <x v="7"/>
    <n v="570.37323279999998"/>
    <n v="0"/>
  </r>
  <r>
    <x v="8"/>
    <x v="8"/>
    <n v="181565.5533"/>
    <n v="22864.566210000001"/>
    <n v="72023.436499999996"/>
    <n v="88735.267590000003"/>
    <x v="8"/>
    <n v="650"/>
    <n v="0"/>
  </r>
  <r>
    <x v="9"/>
    <x v="9"/>
    <n v="238370.41769999999"/>
    <n v="22835.615740000001"/>
    <n v="62564.50232"/>
    <n v="75282.265230000005"/>
    <x v="9"/>
    <n v="360"/>
    <n v="0"/>
  </r>
  <r>
    <x v="10"/>
    <x v="10"/>
    <n v="300111.09850000002"/>
    <n v="53021.31583"/>
    <n v="54943.005640000003"/>
    <n v="58830.973810000003"/>
    <x v="10"/>
    <n v="820"/>
    <n v="0"/>
  </r>
  <r>
    <x v="11"/>
    <x v="11"/>
    <n v="165731.6764"/>
    <n v="13928.147940000001"/>
    <n v="45685.960400000004"/>
    <n v="48747.78009"/>
    <x v="11"/>
    <n v="770"/>
    <n v="30.729212109999999"/>
  </r>
  <r>
    <x v="12"/>
    <x v="12"/>
    <n v="75639.189249999996"/>
    <n v="11584.1723"/>
    <n v="40620.725339999997"/>
    <n v="45015.905409999999"/>
    <x v="12"/>
    <n v="470"/>
    <n v="79.440501659999995"/>
  </r>
  <r>
    <x v="13"/>
    <x v="13"/>
    <n v="74760.228220000005"/>
    <n v="9814.6705239999992"/>
    <n v="33269.087460000002"/>
    <n v="39700.64185"/>
    <x v="13"/>
    <n v="150"/>
    <n v="99.3710501700000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C16" firstHeaderRow="0" firstDataRow="1" firstDataCol="1"/>
  <pivotFields count="9">
    <pivotField axis="axisRow" showAll="0">
      <items count="15"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>
      <items count="15">
        <item x="13"/>
        <item x="12"/>
        <item x="11"/>
        <item x="10"/>
        <item x="9"/>
        <item x="8"/>
        <item x="7"/>
        <item x="6"/>
        <item x="5"/>
        <item x="3"/>
        <item x="4"/>
        <item x="2"/>
        <item x="1"/>
        <item x="0"/>
        <item t="default"/>
      </items>
    </pivotField>
    <pivotField dataField="1" showAll="0"/>
    <pivotField showAll="0"/>
    <pivotField showAll="0"/>
    <pivotField showAll="0"/>
    <pivotField dataField="1" showAll="0">
      <items count="15">
        <item x="10"/>
        <item x="13"/>
        <item x="12"/>
        <item x="11"/>
        <item x="7"/>
        <item x="6"/>
        <item x="4"/>
        <item x="5"/>
        <item x="3"/>
        <item x="2"/>
        <item x="8"/>
        <item x="0"/>
        <item x="1"/>
        <item x="9"/>
        <item t="default"/>
      </items>
    </pivotField>
    <pivotField showAll="0"/>
    <pivotField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stabelecimento bancário comercial" fld="2" baseField="0" baseItem="0"/>
    <dataField name="Soma de Soc. de crédito, financiamento e investimento" fld="6" baseField="0" baseItem="0"/>
  </dataFields>
  <chartFormats count="2">
    <chartFormat chart="0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C8:J10"/>
  <sheetViews>
    <sheetView showGridLines="0" tabSelected="1" workbookViewId="0">
      <selection activeCell="G14" sqref="G14"/>
    </sheetView>
  </sheetViews>
  <sheetFormatPr defaultRowHeight="15" x14ac:dyDescent="0.25"/>
  <cols>
    <col min="4" max="4" width="35.42578125" customWidth="1"/>
    <col min="5" max="5" width="34.140625" customWidth="1"/>
    <col min="6" max="6" width="26.28515625" customWidth="1"/>
    <col min="7" max="7" width="27.140625" customWidth="1"/>
    <col min="8" max="8" width="15.7109375" customWidth="1"/>
    <col min="9" max="9" width="28" customWidth="1"/>
  </cols>
  <sheetData>
    <row r="8" spans="3:10" x14ac:dyDescent="0.25">
      <c r="C8" s="4" t="s">
        <v>1</v>
      </c>
      <c r="D8" s="4" t="s">
        <v>2</v>
      </c>
      <c r="E8" s="4" t="s">
        <v>3</v>
      </c>
      <c r="F8" s="4" t="s">
        <v>4</v>
      </c>
      <c r="G8" s="4" t="s">
        <v>5</v>
      </c>
      <c r="H8" s="4" t="s">
        <v>6</v>
      </c>
      <c r="I8" s="4" t="s">
        <v>7</v>
      </c>
      <c r="J8" s="4" t="s">
        <v>8</v>
      </c>
    </row>
    <row r="9" spans="3:10" x14ac:dyDescent="0.25">
      <c r="C9" s="4" t="str">
        <f>IF(A1&lt;&gt;0,INDEX('DIvidas e onus'!$A:$I,$A$1+1,2),"")</f>
        <v/>
      </c>
      <c r="D9" s="4" t="str">
        <f>IF(A1=0,"",INDEX('DIvidas e onus'!$A:$I,$A$1+1,3))</f>
        <v/>
      </c>
      <c r="E9" s="4" t="str">
        <f>IF($A$1=0,"",INDEX('DIvidas e onus'!$A:$I,$A$1+1,4))</f>
        <v/>
      </c>
      <c r="F9" s="4" t="str">
        <f>IF(A1=0,"",INDEX('DIvidas e onus'!$A:$I,$A$1+1,5))</f>
        <v/>
      </c>
      <c r="G9" s="4" t="str">
        <f>IF(A1=0,"",INDEX('DIvidas e onus'!$A:$I,$A$1+1,6))</f>
        <v/>
      </c>
      <c r="H9" s="4" t="str">
        <f>IF(A1=0,"",INDEX('DIvidas e onus'!$A:$I,$A$1+1,7))</f>
        <v/>
      </c>
      <c r="I9" s="4" t="str">
        <f>IF($A$1&lt;&gt;0,"",INDEX('DIvidas e onus'!$A:$I,$A$1+1,8))</f>
        <v>Outros</v>
      </c>
      <c r="J9" s="4" t="str">
        <f>IF(A1&lt;&gt;0,"",INDEX('DIvidas e onus'!$A:$I,$A$1+1,9))</f>
        <v>Inválido</v>
      </c>
    </row>
    <row r="10" spans="3:10" x14ac:dyDescent="0.25">
      <c r="C10" s="5"/>
      <c r="D10" s="5"/>
      <c r="E10" s="5"/>
      <c r="F10" s="5"/>
      <c r="G10" s="5"/>
      <c r="H10" s="5"/>
      <c r="I10" s="5"/>
      <c r="J10" s="5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Drop Down 3">
              <controlPr defaultSize="0" autoLine="0" autoPict="0">
                <anchor moveWithCells="1">
                  <from>
                    <xdr:col>4</xdr:col>
                    <xdr:colOff>971550</xdr:colOff>
                    <xdr:row>9</xdr:row>
                    <xdr:rowOff>9525</xdr:rowOff>
                  </from>
                  <to>
                    <xdr:col>8</xdr:col>
                    <xdr:colOff>47625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Limpar_clique">
                <anchor moveWithCells="1" sizeWithCells="1">
                  <from>
                    <xdr:col>1</xdr:col>
                    <xdr:colOff>590550</xdr:colOff>
                    <xdr:row>9</xdr:row>
                    <xdr:rowOff>9525</xdr:rowOff>
                  </from>
                  <to>
                    <xdr:col>4</xdr:col>
                    <xdr:colOff>990600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C16"/>
  <sheetViews>
    <sheetView workbookViewId="0">
      <selection activeCell="H26" sqref="H25:H26"/>
    </sheetView>
  </sheetViews>
  <sheetFormatPr defaultRowHeight="15" x14ac:dyDescent="0.25"/>
  <cols>
    <col min="1" max="1" width="18" bestFit="1" customWidth="1"/>
    <col min="2" max="2" width="41.85546875" bestFit="1" customWidth="1"/>
    <col min="3" max="3" width="51.140625" bestFit="1" customWidth="1"/>
    <col min="4" max="4" width="33.28515625" bestFit="1" customWidth="1"/>
    <col min="5" max="15" width="12" bestFit="1" customWidth="1"/>
    <col min="16" max="16" width="10.7109375" bestFit="1" customWidth="1"/>
  </cols>
  <sheetData>
    <row r="1" spans="1:3" x14ac:dyDescent="0.25">
      <c r="A1" s="1" t="s">
        <v>9</v>
      </c>
      <c r="B1" t="s">
        <v>11</v>
      </c>
      <c r="C1" t="s">
        <v>12</v>
      </c>
    </row>
    <row r="2" spans="1:3" x14ac:dyDescent="0.25">
      <c r="A2" s="2">
        <v>2007</v>
      </c>
      <c r="B2" s="3">
        <v>74760.228220000005</v>
      </c>
      <c r="C2" s="3">
        <v>28336.35009</v>
      </c>
    </row>
    <row r="3" spans="1:3" x14ac:dyDescent="0.25">
      <c r="A3" s="2">
        <v>2008</v>
      </c>
      <c r="B3" s="3">
        <v>75639.189249999996</v>
      </c>
      <c r="C3" s="3">
        <v>35745.73749</v>
      </c>
    </row>
    <row r="4" spans="1:3" x14ac:dyDescent="0.25">
      <c r="A4" s="2">
        <v>2009</v>
      </c>
      <c r="B4" s="3">
        <v>165731.6764</v>
      </c>
      <c r="C4" s="3">
        <v>42202.890630000002</v>
      </c>
    </row>
    <row r="5" spans="1:3" x14ac:dyDescent="0.25">
      <c r="A5" s="2">
        <v>2010</v>
      </c>
      <c r="B5" s="3">
        <v>300111.09850000002</v>
      </c>
      <c r="C5" s="3">
        <v>18877.41748</v>
      </c>
    </row>
    <row r="6" spans="1:3" x14ac:dyDescent="0.25">
      <c r="A6" s="2">
        <v>2011</v>
      </c>
      <c r="B6" s="3">
        <v>238370.41769999999</v>
      </c>
      <c r="C6" s="3">
        <v>134747.29870000001</v>
      </c>
    </row>
    <row r="7" spans="1:3" x14ac:dyDescent="0.25">
      <c r="A7" s="2">
        <v>2012</v>
      </c>
      <c r="B7" s="3">
        <v>181565.5533</v>
      </c>
      <c r="C7" s="3">
        <v>85244.11924</v>
      </c>
    </row>
    <row r="8" spans="1:3" x14ac:dyDescent="0.25">
      <c r="A8" s="2">
        <v>2013</v>
      </c>
      <c r="B8" s="3">
        <v>192936.0619</v>
      </c>
      <c r="C8" s="3">
        <v>67191.031149999995</v>
      </c>
    </row>
    <row r="9" spans="1:3" x14ac:dyDescent="0.25">
      <c r="A9" s="2">
        <v>2014</v>
      </c>
      <c r="B9" s="3">
        <v>230628.22289999999</v>
      </c>
      <c r="C9" s="3">
        <v>73373.819459999999</v>
      </c>
    </row>
    <row r="10" spans="1:3" x14ac:dyDescent="0.25">
      <c r="A10" s="2">
        <v>2015</v>
      </c>
      <c r="B10" s="3">
        <v>302515.0393</v>
      </c>
      <c r="C10" s="3">
        <v>76709.717950000006</v>
      </c>
    </row>
    <row r="11" spans="1:3" x14ac:dyDescent="0.25">
      <c r="A11" s="2">
        <v>2016</v>
      </c>
      <c r="B11" s="3">
        <v>241374.52650000001</v>
      </c>
      <c r="C11" s="3">
        <v>75278.502439999997</v>
      </c>
    </row>
    <row r="12" spans="1:3" x14ac:dyDescent="0.25">
      <c r="A12" s="2">
        <v>2017</v>
      </c>
      <c r="B12" s="3">
        <v>445093.13209999999</v>
      </c>
      <c r="C12" s="3">
        <v>76918.975229999996</v>
      </c>
    </row>
    <row r="13" spans="1:3" x14ac:dyDescent="0.25">
      <c r="A13" s="2">
        <v>2018</v>
      </c>
      <c r="B13" s="3">
        <v>262100.44099999999</v>
      </c>
      <c r="C13" s="3">
        <v>82690.958679999996</v>
      </c>
    </row>
    <row r="14" spans="1:3" x14ac:dyDescent="0.25">
      <c r="A14" s="2">
        <v>2019</v>
      </c>
      <c r="B14" s="3">
        <v>284721.70189999999</v>
      </c>
      <c r="C14" s="3">
        <v>109077.9111</v>
      </c>
    </row>
    <row r="15" spans="1:3" x14ac:dyDescent="0.25">
      <c r="A15" s="2">
        <v>2020</v>
      </c>
      <c r="B15" s="3">
        <v>323535.64809999999</v>
      </c>
      <c r="C15" s="3">
        <v>93629.541530000002</v>
      </c>
    </row>
    <row r="16" spans="1:3" x14ac:dyDescent="0.25">
      <c r="A16" s="2" t="s">
        <v>10</v>
      </c>
      <c r="B16" s="3">
        <v>3319082.93707</v>
      </c>
      <c r="C16" s="3">
        <v>1000024.27117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I15"/>
  <sheetViews>
    <sheetView workbookViewId="0">
      <selection activeCell="G36" sqref="G36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2020</v>
      </c>
      <c r="B2">
        <v>32986.567990000003</v>
      </c>
      <c r="C2">
        <v>323535.64809999999</v>
      </c>
      <c r="D2">
        <v>48813.66779</v>
      </c>
      <c r="E2">
        <v>137478.2616</v>
      </c>
      <c r="F2">
        <v>205241.51860000001</v>
      </c>
      <c r="G2">
        <v>93629.541530000002</v>
      </c>
      <c r="H2">
        <v>0</v>
      </c>
      <c r="I2">
        <v>0</v>
      </c>
    </row>
    <row r="3" spans="1:9" x14ac:dyDescent="0.25">
      <c r="A3">
        <v>2019</v>
      </c>
      <c r="B3">
        <v>24919.77795</v>
      </c>
      <c r="C3">
        <v>284721.70189999999</v>
      </c>
      <c r="D3">
        <v>41938.280140000003</v>
      </c>
      <c r="E3">
        <v>111934.38039999999</v>
      </c>
      <c r="F3">
        <v>182995.3315</v>
      </c>
      <c r="G3">
        <v>109077.9111</v>
      </c>
      <c r="H3">
        <v>0</v>
      </c>
      <c r="I3">
        <v>0</v>
      </c>
    </row>
    <row r="4" spans="1:9" x14ac:dyDescent="0.25">
      <c r="A4">
        <v>2018</v>
      </c>
      <c r="B4">
        <v>22553.393540000001</v>
      </c>
      <c r="C4">
        <v>262100.44099999999</v>
      </c>
      <c r="D4">
        <v>39455.201260000002</v>
      </c>
      <c r="E4">
        <v>104586.8067</v>
      </c>
      <c r="F4">
        <v>172150.54509999999</v>
      </c>
      <c r="G4">
        <v>82690.958679999996</v>
      </c>
      <c r="H4">
        <v>0</v>
      </c>
      <c r="I4">
        <v>0</v>
      </c>
    </row>
    <row r="5" spans="1:9" x14ac:dyDescent="0.25">
      <c r="A5">
        <v>2017</v>
      </c>
      <c r="B5">
        <v>19278.0036</v>
      </c>
      <c r="C5">
        <v>445093.13209999999</v>
      </c>
      <c r="D5">
        <v>74395.638399999996</v>
      </c>
      <c r="E5">
        <v>101079.8836</v>
      </c>
      <c r="F5">
        <v>177749.54939999999</v>
      </c>
      <c r="G5">
        <v>76918.975229999996</v>
      </c>
      <c r="H5">
        <v>0</v>
      </c>
      <c r="I5">
        <v>0</v>
      </c>
    </row>
    <row r="6" spans="1:9" x14ac:dyDescent="0.25">
      <c r="A6">
        <v>2016</v>
      </c>
      <c r="B6">
        <v>20102.795289999998</v>
      </c>
      <c r="C6">
        <v>241374.52650000001</v>
      </c>
      <c r="D6">
        <v>33780.835330000002</v>
      </c>
      <c r="E6">
        <v>91983.785529999994</v>
      </c>
      <c r="F6">
        <v>165716.20970000001</v>
      </c>
      <c r="G6">
        <v>75278.502439999997</v>
      </c>
      <c r="H6">
        <v>0</v>
      </c>
      <c r="I6">
        <v>0</v>
      </c>
    </row>
    <row r="7" spans="1:9" x14ac:dyDescent="0.25">
      <c r="A7">
        <v>2015</v>
      </c>
      <c r="B7">
        <v>16063.656929999999</v>
      </c>
      <c r="C7">
        <v>302515.0393</v>
      </c>
      <c r="D7">
        <v>33226.280429999999</v>
      </c>
      <c r="E7">
        <v>86984.897270000001</v>
      </c>
      <c r="F7">
        <v>144637.27369999999</v>
      </c>
      <c r="G7">
        <v>76709.717950000006</v>
      </c>
      <c r="H7">
        <v>0</v>
      </c>
      <c r="I7">
        <v>0</v>
      </c>
    </row>
    <row r="8" spans="1:9" x14ac:dyDescent="0.25">
      <c r="A8">
        <v>2014</v>
      </c>
      <c r="B8">
        <v>9770.3001829999994</v>
      </c>
      <c r="C8">
        <v>230628.22289999999</v>
      </c>
      <c r="D8">
        <v>28505.270939999999</v>
      </c>
      <c r="E8">
        <v>100634.1784</v>
      </c>
      <c r="F8">
        <v>120981.6642</v>
      </c>
      <c r="G8">
        <v>73373.819459999999</v>
      </c>
      <c r="H8">
        <v>0</v>
      </c>
      <c r="I8">
        <v>0</v>
      </c>
    </row>
    <row r="9" spans="1:9" x14ac:dyDescent="0.25">
      <c r="A9">
        <v>2013</v>
      </c>
      <c r="B9">
        <v>8695.8875669999998</v>
      </c>
      <c r="C9">
        <v>192936.0619</v>
      </c>
      <c r="D9">
        <v>25763.078259999998</v>
      </c>
      <c r="E9">
        <v>76716.143479999999</v>
      </c>
      <c r="F9">
        <v>137025.87390000001</v>
      </c>
      <c r="G9">
        <v>67191.031149999995</v>
      </c>
      <c r="H9">
        <v>570.37323279999998</v>
      </c>
      <c r="I9">
        <v>0</v>
      </c>
    </row>
    <row r="10" spans="1:9" x14ac:dyDescent="0.25">
      <c r="A10">
        <v>2012</v>
      </c>
      <c r="B10">
        <v>6929.5775439999998</v>
      </c>
      <c r="C10">
        <v>181565.5533</v>
      </c>
      <c r="D10">
        <v>22864.566210000001</v>
      </c>
      <c r="E10">
        <v>72023.436499999996</v>
      </c>
      <c r="F10">
        <v>88735.267590000003</v>
      </c>
      <c r="G10">
        <v>85244.11924</v>
      </c>
      <c r="H10">
        <v>650</v>
      </c>
      <c r="I10">
        <v>0</v>
      </c>
    </row>
    <row r="11" spans="1:9" x14ac:dyDescent="0.25">
      <c r="A11">
        <v>2011</v>
      </c>
      <c r="B11">
        <v>4433.0606470000002</v>
      </c>
      <c r="C11">
        <v>238370.41769999999</v>
      </c>
      <c r="D11">
        <v>22835.615740000001</v>
      </c>
      <c r="E11">
        <v>62564.50232</v>
      </c>
      <c r="F11">
        <v>75282.265230000005</v>
      </c>
      <c r="G11">
        <v>134747.29870000001</v>
      </c>
      <c r="H11">
        <v>360</v>
      </c>
      <c r="I11">
        <v>0</v>
      </c>
    </row>
    <row r="12" spans="1:9" x14ac:dyDescent="0.25">
      <c r="A12">
        <v>2010</v>
      </c>
      <c r="B12">
        <v>2696.8959500000001</v>
      </c>
      <c r="C12">
        <v>300111.09850000002</v>
      </c>
      <c r="D12">
        <v>53021.31583</v>
      </c>
      <c r="E12">
        <v>54943.005640000003</v>
      </c>
      <c r="F12">
        <v>58830.973810000003</v>
      </c>
      <c r="G12">
        <v>18877.41748</v>
      </c>
      <c r="H12">
        <v>820</v>
      </c>
      <c r="I12">
        <v>0</v>
      </c>
    </row>
    <row r="13" spans="1:9" x14ac:dyDescent="0.25">
      <c r="A13">
        <v>2009</v>
      </c>
      <c r="B13">
        <v>2682.0085530000001</v>
      </c>
      <c r="C13">
        <v>165731.6764</v>
      </c>
      <c r="D13">
        <v>13928.147940000001</v>
      </c>
      <c r="E13">
        <v>45685.960400000004</v>
      </c>
      <c r="F13">
        <v>48747.78009</v>
      </c>
      <c r="G13">
        <v>42202.890630000002</v>
      </c>
      <c r="H13">
        <v>770</v>
      </c>
      <c r="I13">
        <v>30.729212109999999</v>
      </c>
    </row>
    <row r="14" spans="1:9" x14ac:dyDescent="0.25">
      <c r="A14">
        <v>2008</v>
      </c>
      <c r="B14">
        <v>2624.9102990000001</v>
      </c>
      <c r="C14">
        <v>75639.189249999996</v>
      </c>
      <c r="D14">
        <v>11584.1723</v>
      </c>
      <c r="E14">
        <v>40620.725339999997</v>
      </c>
      <c r="F14">
        <v>45015.905409999999</v>
      </c>
      <c r="G14">
        <v>35745.73749</v>
      </c>
      <c r="H14">
        <v>470</v>
      </c>
      <c r="I14">
        <v>79.440501659999995</v>
      </c>
    </row>
    <row r="15" spans="1:9" x14ac:dyDescent="0.25">
      <c r="A15">
        <v>2007</v>
      </c>
      <c r="B15">
        <v>2294.622562</v>
      </c>
      <c r="C15">
        <v>74760.228220000005</v>
      </c>
      <c r="D15">
        <v>9814.6705239999992</v>
      </c>
      <c r="E15">
        <v>33269.087460000002</v>
      </c>
      <c r="F15">
        <v>39700.64185</v>
      </c>
      <c r="G15">
        <v>28336.35009</v>
      </c>
      <c r="H15">
        <v>150</v>
      </c>
      <c r="I15">
        <v>99.371050170000004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Formulario</vt:lpstr>
      <vt:lpstr>Dinamica</vt:lpstr>
      <vt:lpstr>DIvidas e onus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Fatec</dc:creator>
  <cp:lastModifiedBy>Fatec</cp:lastModifiedBy>
  <dcterms:created xsi:type="dcterms:W3CDTF">2023-08-31T23:37:15Z</dcterms:created>
  <dcterms:modified xsi:type="dcterms:W3CDTF">2023-09-01T00:19:18Z</dcterms:modified>
</cp:coreProperties>
</file>